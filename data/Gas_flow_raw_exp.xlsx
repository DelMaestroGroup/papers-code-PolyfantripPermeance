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delma/Dropbox/UTK/Projects/PolyFantrip/GasTransport/Code/Release/data/"/>
    </mc:Choice>
  </mc:AlternateContent>
  <xr:revisionPtr revIDLastSave="0" documentId="13_ncr:1_{6153E462-F35B-8241-A8F5-ABDF550A5521}" xr6:coauthVersionLast="47" xr6:coauthVersionMax="47" xr10:uidLastSave="{00000000-0000-0000-0000-000000000000}"/>
  <bookViews>
    <workbookView xWindow="0" yWindow="600" windowWidth="38640" windowHeight="21240" xr2:uid="{29F15F27-C16A-443A-9E91-21D444D92DC8}"/>
  </bookViews>
  <sheets>
    <sheet name="Nitrogen" sheetId="1" r:id="rId1"/>
    <sheet name="Helium" sheetId="2" r:id="rId2"/>
    <sheet name="Hydrogen" sheetId="3" r:id="rId3"/>
    <sheet name="SF6" sheetId="4" r:id="rId4"/>
    <sheet name="CO2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3" l="1"/>
  <c r="K41" i="3"/>
  <c r="M38" i="3"/>
  <c r="K44" i="3"/>
  <c r="K37" i="3"/>
  <c r="K47" i="3"/>
  <c r="I44" i="3"/>
  <c r="I47" i="3"/>
  <c r="I19" i="3"/>
  <c r="L19" i="3"/>
  <c r="K19" i="3"/>
  <c r="K22" i="3"/>
  <c r="K25" i="3"/>
  <c r="K28" i="3"/>
  <c r="K31" i="3"/>
  <c r="I25" i="3"/>
  <c r="I28" i="3"/>
  <c r="I31" i="3"/>
  <c r="L35" i="5"/>
  <c r="N35" i="5"/>
  <c r="N38" i="5"/>
  <c r="N41" i="5"/>
  <c r="L38" i="5"/>
  <c r="L41" i="5"/>
  <c r="N19" i="5"/>
  <c r="N22" i="5"/>
  <c r="N25" i="5"/>
  <c r="L19" i="5"/>
  <c r="L22" i="5"/>
  <c r="L25" i="5"/>
  <c r="R34" i="4"/>
  <c r="T34" i="4"/>
  <c r="V31" i="4"/>
  <c r="T37" i="4"/>
  <c r="T30" i="4"/>
  <c r="T40" i="4"/>
  <c r="R37" i="4"/>
  <c r="R40" i="4"/>
  <c r="R12" i="4"/>
  <c r="U12" i="4"/>
  <c r="T12" i="4"/>
  <c r="T15" i="4"/>
  <c r="T18" i="4"/>
  <c r="T21" i="4"/>
  <c r="T24" i="4"/>
  <c r="R18" i="4"/>
  <c r="R21" i="4"/>
  <c r="R24" i="4"/>
  <c r="K11" i="2"/>
  <c r="M11" i="2"/>
  <c r="N11" i="2"/>
  <c r="M14" i="2"/>
  <c r="K17" i="2"/>
  <c r="M17" i="2"/>
  <c r="K20" i="2"/>
  <c r="M20" i="2"/>
  <c r="K23" i="2"/>
  <c r="M23" i="2"/>
  <c r="M29" i="2"/>
  <c r="O30" i="2"/>
  <c r="K33" i="2"/>
  <c r="M33" i="2"/>
  <c r="K36" i="2"/>
  <c r="M36" i="2"/>
  <c r="K39" i="2"/>
  <c r="M39" i="2"/>
  <c r="P8" i="1"/>
  <c r="R8" i="1"/>
  <c r="S8" i="1"/>
  <c r="R11" i="1"/>
  <c r="P14" i="1"/>
  <c r="R14" i="1"/>
  <c r="P17" i="1"/>
  <c r="R17" i="1"/>
  <c r="P20" i="1"/>
  <c r="R20" i="1"/>
  <c r="R26" i="1"/>
  <c r="T27" i="1"/>
  <c r="P30" i="1"/>
  <c r="R30" i="1"/>
  <c r="P33" i="1"/>
  <c r="R33" i="1"/>
  <c r="P36" i="1"/>
  <c r="R36" i="1"/>
</calcChain>
</file>

<file path=xl/sharedStrings.xml><?xml version="1.0" encoding="utf-8"?>
<sst xmlns="http://schemas.openxmlformats.org/spreadsheetml/2006/main" count="216" uniqueCount="62">
  <si>
    <r>
      <rPr>
        <b/>
        <sz val="12"/>
        <color theme="1"/>
        <rFont val="Calibri"/>
        <family val="2"/>
        <scheme val="minor"/>
      </rPr>
      <t>Permeance (mol/s 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Pa)</t>
    </r>
  </si>
  <si>
    <r>
      <t>Permeance (mL/s 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Pa) </t>
    </r>
  </si>
  <si>
    <r>
      <rPr>
        <b/>
        <sz val="12"/>
        <color theme="1"/>
        <rFont val="Calibri"/>
        <family val="2"/>
        <scheme val="minor"/>
      </rPr>
      <t>Flux (mol/s 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</si>
  <si>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r>
      <t>Flux (mL/s 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)</t>
    </r>
  </si>
  <si>
    <t>Rate (mol/s)</t>
  </si>
  <si>
    <t>Rate (mL/s)</t>
  </si>
  <si>
    <r>
      <t>Membrane area (m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</si>
  <si>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Pressure (Pa)</t>
  </si>
  <si>
    <t>Membrane Diameter (m)</t>
  </si>
  <si>
    <t>temp (K)</t>
  </si>
  <si>
    <t>pressure (in H2O)</t>
  </si>
  <si>
    <t>time (s)</t>
  </si>
  <si>
    <t>Volume (mL)</t>
  </si>
  <si>
    <t>Measured for N2</t>
  </si>
  <si>
    <t>number of pores</t>
  </si>
  <si>
    <r>
      <t>pore area (m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</si>
  <si>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membrane area (m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</si>
  <si>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pressure (Pa)</t>
  </si>
  <si>
    <t>molar volume (mL/mol)</t>
  </si>
  <si>
    <t>pore diameter (m)</t>
  </si>
  <si>
    <t>membrane diameter (m)</t>
  </si>
  <si>
    <t>Temp (K)</t>
  </si>
  <si>
    <r>
      <t>Pressure (in 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O)</t>
    </r>
  </si>
  <si>
    <r>
      <t>Theoretical for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</si>
  <si>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>effusion rate calculator</t>
  </si>
  <si>
    <t xml:space="preserve">Copper Discs (50 μm) </t>
  </si>
  <si>
    <t>No measurements</t>
  </si>
  <si>
    <t>Discs:</t>
  </si>
  <si>
    <t>Re testing of CO2 disk attempt with Nitrogen got 149.23 seconds</t>
  </si>
  <si>
    <t>Measured for He</t>
  </si>
  <si>
    <t xml:space="preserve">Theoretical for He </t>
  </si>
  <si>
    <t xml:space="preserve">Theoretical for SF6 </t>
  </si>
  <si>
    <t>Measured for SF6</t>
  </si>
  <si>
    <t xml:space="preserve">Theoretical for CO2 </t>
  </si>
  <si>
    <r>
      <t>Pressure (in H</t>
    </r>
    <r>
      <rPr>
        <vertAlign val="sub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O)</t>
    </r>
  </si>
  <si>
    <r>
      <t>membrane area (m</t>
    </r>
    <r>
      <rPr>
        <vertAlign val="super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</t>
    </r>
  </si>
  <si>
    <r>
      <t>pore area (m</t>
    </r>
    <r>
      <rPr>
        <vertAlign val="super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</t>
    </r>
  </si>
  <si>
    <t>Measured for CO2</t>
  </si>
  <si>
    <r>
      <t>Membrane area (m</t>
    </r>
    <r>
      <rPr>
        <vertAlign val="super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</t>
    </r>
  </si>
  <si>
    <r>
      <t>Flux (mL/s m</t>
    </r>
    <r>
      <rPr>
        <b/>
        <vertAlign val="superscript"/>
        <sz val="12"/>
        <color rgb="FF000000"/>
        <rFont val="Calibri"/>
        <family val="2"/>
        <scheme val="minor"/>
      </rPr>
      <t>2</t>
    </r>
    <r>
      <rPr>
        <b/>
        <sz val="12"/>
        <color rgb="FF000000"/>
        <rFont val="Calibri"/>
        <family val="2"/>
        <scheme val="minor"/>
      </rPr>
      <t>)</t>
    </r>
  </si>
  <si>
    <r>
      <t>Flux (mol/s m</t>
    </r>
    <r>
      <rPr>
        <b/>
        <vertAlign val="superscript"/>
        <sz val="12"/>
        <color rgb="FF000000"/>
        <rFont val="Calibri"/>
        <family val="2"/>
        <scheme val="minor"/>
      </rPr>
      <t>2</t>
    </r>
    <r>
      <rPr>
        <b/>
        <sz val="12"/>
        <color rgb="FF000000"/>
        <rFont val="Calibri"/>
        <family val="2"/>
        <scheme val="minor"/>
      </rPr>
      <t>)</t>
    </r>
  </si>
  <si>
    <r>
      <t>Permeance (mL/s m</t>
    </r>
    <r>
      <rPr>
        <b/>
        <vertAlign val="superscript"/>
        <sz val="12"/>
        <color rgb="FF000000"/>
        <rFont val="Calibri"/>
        <family val="2"/>
        <scheme val="minor"/>
      </rPr>
      <t>2</t>
    </r>
    <r>
      <rPr>
        <b/>
        <sz val="12"/>
        <color rgb="FF000000"/>
        <rFont val="Calibri"/>
        <family val="2"/>
        <scheme val="minor"/>
      </rPr>
      <t xml:space="preserve"> Pa) </t>
    </r>
  </si>
  <si>
    <r>
      <t>Permeance (mol/s m</t>
    </r>
    <r>
      <rPr>
        <b/>
        <vertAlign val="superscript"/>
        <sz val="12"/>
        <color rgb="FF000000"/>
        <rFont val="Calibri"/>
        <family val="2"/>
        <scheme val="minor"/>
      </rPr>
      <t>2</t>
    </r>
    <r>
      <rPr>
        <b/>
        <sz val="12"/>
        <color rgb="FF000000"/>
        <rFont val="Calibri"/>
        <family val="2"/>
        <scheme val="minor"/>
      </rPr>
      <t xml:space="preserve"> Pa)</t>
    </r>
  </si>
  <si>
    <r>
      <t>Theoretical for 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</t>
    </r>
  </si>
  <si>
    <t xml:space="preserve">Measured for H2 </t>
  </si>
  <si>
    <t>nothing</t>
  </si>
  <si>
    <t>no gas flow</t>
  </si>
  <si>
    <t>Time:(s)</t>
  </si>
  <si>
    <t>restested with nitrogen and it got roughly the time expected around ~153 seconds no idea why</t>
  </si>
  <si>
    <t xml:space="preserve">flow measurements stopped ~200 </t>
  </si>
  <si>
    <t>bubble flew</t>
  </si>
  <si>
    <t>Couldn't see anything under microscope</t>
  </si>
  <si>
    <t>Couldn't get copper disk out of holder without destroying disk couldn't see anything afterwards</t>
  </si>
  <si>
    <t>Nitrogen Gas Flow</t>
  </si>
  <si>
    <t>CO2 time gas flow measurements</t>
  </si>
  <si>
    <t>Hydrogen gas flow time</t>
  </si>
  <si>
    <t>He Gas</t>
  </si>
  <si>
    <t xml:space="preserve">SF6 Gas flow </t>
  </si>
  <si>
    <t>Time:(seconds)</t>
  </si>
  <si>
    <t>Copper disk bent couldn't see anything</t>
  </si>
  <si>
    <t>Bent disk</t>
  </si>
  <si>
    <t>Time: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</si>
</sst>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bscript"/>
      <sz val="12"/>
      <color rgb="FF000000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perscript"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64" fontId="1" fillId="0" borderId="2" xfId="0" applyNumberFormat="1" applyFont="1" applyBorder="1"/>
    <xf numFmtId="11" fontId="2" fillId="0" borderId="2" xfId="0" applyNumberFormat="1" applyFont="1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2" fillId="0" borderId="0" xfId="0" applyFont="1"/>
    <xf numFmtId="11" fontId="2" fillId="0" borderId="0" xfId="0" applyNumberFormat="1" applyFont="1"/>
    <xf numFmtId="11" fontId="5" fillId="0" borderId="0" xfId="0" applyNumberFormat="1" applyFont="1"/>
    <xf numFmtId="11" fontId="0" fillId="0" borderId="4" xfId="0" applyNumberFormat="1" applyBorder="1"/>
    <xf numFmtId="164" fontId="1" fillId="0" borderId="0" xfId="0" applyNumberFormat="1" applyFont="1"/>
    <xf numFmtId="11" fontId="0" fillId="0" borderId="0" xfId="0" applyNumberFormat="1"/>
    <xf numFmtId="0" fontId="0" fillId="0" borderId="6" xfId="0" applyBorder="1"/>
    <xf numFmtId="0" fontId="0" fillId="0" borderId="7" xfId="0" applyBorder="1"/>
    <xf numFmtId="0" fontId="8" fillId="0" borderId="8" xfId="0" applyFont="1" applyBorder="1"/>
    <xf numFmtId="0" fontId="0" fillId="0" borderId="0" xfId="0" applyAlignment="1">
      <alignment horizontal="center"/>
    </xf>
    <xf numFmtId="0" fontId="9" fillId="0" borderId="8" xfId="0" applyFont="1" applyBorder="1"/>
    <xf numFmtId="0" fontId="10" fillId="0" borderId="7" xfId="0" applyFont="1" applyBorder="1"/>
    <xf numFmtId="0" fontId="10" fillId="0" borderId="6" xfId="0" applyFont="1" applyBorder="1"/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11" fontId="10" fillId="0" borderId="0" xfId="0" applyNumberFormat="1" applyFont="1"/>
    <xf numFmtId="11" fontId="10" fillId="0" borderId="4" xfId="0" applyNumberFormat="1" applyFont="1" applyBorder="1"/>
    <xf numFmtId="0" fontId="13" fillId="0" borderId="0" xfId="0" applyFont="1"/>
    <xf numFmtId="0" fontId="10" fillId="0" borderId="3" xfId="0" applyFont="1" applyBorder="1"/>
    <xf numFmtId="0" fontId="10" fillId="0" borderId="2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0E8F-BF64-4C66-BF05-D8FAC02E2566}">
  <dimension ref="B1:T36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2" max="2" width="20.1640625" bestFit="1" customWidth="1"/>
    <col min="3" max="3" width="17.5" bestFit="1" customWidth="1"/>
    <col min="15" max="15" width="28.1640625" bestFit="1" customWidth="1"/>
    <col min="16" max="16" width="25.33203125" bestFit="1" customWidth="1"/>
    <col min="17" max="17" width="9" bestFit="1" customWidth="1"/>
    <col min="18" max="18" width="26.33203125" bestFit="1" customWidth="1"/>
    <col min="19" max="19" width="17.5" bestFit="1" customWidth="1"/>
    <col min="20" max="20" width="23.5" bestFit="1" customWidth="1"/>
  </cols>
  <sheetData>
    <row r="1" spans="2:20" x14ac:dyDescent="0.2">
      <c r="B1" s="18"/>
    </row>
    <row r="2" spans="2:20" x14ac:dyDescent="0.2">
      <c r="B2" s="18"/>
    </row>
    <row r="3" spans="2:20" ht="19" x14ac:dyDescent="0.25">
      <c r="B3" s="18"/>
      <c r="O3" s="17" t="s">
        <v>24</v>
      </c>
      <c r="P3" s="16"/>
      <c r="Q3" s="16"/>
      <c r="R3" s="16"/>
      <c r="S3" s="16"/>
      <c r="T3" s="15"/>
    </row>
    <row r="4" spans="2:20" ht="18" x14ac:dyDescent="0.25">
      <c r="B4" s="18" t="s">
        <v>53</v>
      </c>
      <c r="O4" s="8" t="s">
        <v>23</v>
      </c>
      <c r="P4" t="s">
        <v>22</v>
      </c>
      <c r="Q4" t="s">
        <v>21</v>
      </c>
      <c r="R4" t="s">
        <v>20</v>
      </c>
      <c r="S4" t="s">
        <v>19</v>
      </c>
      <c r="T4" s="6" t="s">
        <v>18</v>
      </c>
    </row>
    <row r="5" spans="2:20" x14ac:dyDescent="0.2">
      <c r="B5" s="18"/>
      <c r="O5" s="8"/>
      <c r="P5">
        <v>1.5</v>
      </c>
      <c r="Q5">
        <v>298</v>
      </c>
      <c r="R5" s="14">
        <v>4.3900000000000003E-5</v>
      </c>
      <c r="S5" s="14">
        <v>1.0000000000000001E-9</v>
      </c>
      <c r="T5" s="6">
        <v>23756.3</v>
      </c>
    </row>
    <row r="6" spans="2:20" x14ac:dyDescent="0.2">
      <c r="B6" s="18"/>
      <c r="O6" s="8"/>
      <c r="T6" s="6"/>
    </row>
    <row r="7" spans="2:20" ht="19" x14ac:dyDescent="0.2">
      <c r="B7" s="18" t="s">
        <v>25</v>
      </c>
      <c r="O7" s="8"/>
      <c r="P7" t="s">
        <v>17</v>
      </c>
      <c r="R7" t="s">
        <v>16</v>
      </c>
      <c r="S7" t="s">
        <v>15</v>
      </c>
      <c r="T7" s="6"/>
    </row>
    <row r="8" spans="2:20" x14ac:dyDescent="0.2">
      <c r="B8" s="18"/>
      <c r="O8" s="8"/>
      <c r="P8">
        <f>P5*249.174</f>
        <v>373.76100000000002</v>
      </c>
      <c r="R8">
        <f>((R5/2)^2)*3.14159</f>
        <v>1.5136259159750002E-9</v>
      </c>
      <c r="S8">
        <f>((S5/2)^2)*3.14159</f>
        <v>7.8539750000000004E-19</v>
      </c>
      <c r="T8" s="6"/>
    </row>
    <row r="9" spans="2:20" x14ac:dyDescent="0.2">
      <c r="B9" s="18" t="s">
        <v>27</v>
      </c>
      <c r="C9" s="18" t="s">
        <v>58</v>
      </c>
      <c r="O9" s="8"/>
      <c r="T9" s="6"/>
    </row>
    <row r="10" spans="2:20" x14ac:dyDescent="0.2">
      <c r="B10" s="18">
        <v>1</v>
      </c>
      <c r="C10" s="18">
        <v>151.87</v>
      </c>
      <c r="D10" t="s">
        <v>52</v>
      </c>
      <c r="O10" s="8"/>
      <c r="R10" t="s">
        <v>14</v>
      </c>
      <c r="T10" s="6"/>
    </row>
    <row r="11" spans="2:20" x14ac:dyDescent="0.2">
      <c r="B11" s="18">
        <v>2</v>
      </c>
      <c r="C11" s="18" t="s">
        <v>26</v>
      </c>
      <c r="O11" s="8"/>
      <c r="R11">
        <f>R8*360000000000000000</f>
        <v>544905329.75100005</v>
      </c>
      <c r="T11" s="6"/>
    </row>
    <row r="12" spans="2:20" x14ac:dyDescent="0.2">
      <c r="B12" s="18">
        <v>3</v>
      </c>
      <c r="C12" s="18" t="s">
        <v>26</v>
      </c>
      <c r="D12" t="s">
        <v>51</v>
      </c>
      <c r="O12" s="8"/>
      <c r="T12" s="6"/>
    </row>
    <row r="13" spans="2:20" ht="16" x14ac:dyDescent="0.2">
      <c r="B13" s="18">
        <v>4</v>
      </c>
      <c r="C13" s="18">
        <v>154.97</v>
      </c>
      <c r="D13" t="s">
        <v>59</v>
      </c>
      <c r="O13" s="8"/>
      <c r="P13" s="7" t="s">
        <v>5</v>
      </c>
      <c r="R13" s="7" t="s">
        <v>4</v>
      </c>
      <c r="T13" s="6"/>
    </row>
    <row r="14" spans="2:20" ht="16" x14ac:dyDescent="0.2">
      <c r="B14" s="18">
        <v>5</v>
      </c>
      <c r="C14" s="18" t="s">
        <v>26</v>
      </c>
      <c r="O14" s="8"/>
      <c r="P14" s="11">
        <f>(P8*S8*T5*R11)/(SQRT(2*3.14159*0.028*Q5*8.314))</f>
        <v>1.8201259679010267E-4</v>
      </c>
      <c r="R14" s="9">
        <f>(P8*S8*R11)/(SQRT(2*3.14159*0.028*Q5*8.314))</f>
        <v>7.6616559308521384E-9</v>
      </c>
      <c r="T14" s="6"/>
    </row>
    <row r="15" spans="2:20" x14ac:dyDescent="0.2">
      <c r="B15" s="18">
        <v>6</v>
      </c>
      <c r="C15" s="18" t="s">
        <v>26</v>
      </c>
      <c r="O15" s="8"/>
      <c r="T15" s="6"/>
    </row>
    <row r="16" spans="2:20" ht="19" x14ac:dyDescent="0.2">
      <c r="B16" s="18">
        <v>7</v>
      </c>
      <c r="C16" s="18" t="s">
        <v>26</v>
      </c>
      <c r="O16" s="8"/>
      <c r="P16" s="7" t="s">
        <v>3</v>
      </c>
      <c r="R16" s="7" t="s">
        <v>2</v>
      </c>
      <c r="T16" s="6"/>
    </row>
    <row r="17" spans="2:20" ht="16" x14ac:dyDescent="0.2">
      <c r="B17" s="18">
        <v>8</v>
      </c>
      <c r="C17" s="18">
        <v>155.22</v>
      </c>
      <c r="D17" t="s">
        <v>60</v>
      </c>
      <c r="O17" s="8"/>
      <c r="P17" s="10">
        <f>P14/R8</f>
        <v>120249.39244837088</v>
      </c>
      <c r="R17" s="9">
        <f>R14/R8</f>
        <v>5.0617896073197794</v>
      </c>
      <c r="T17" s="6"/>
    </row>
    <row r="18" spans="2:20" x14ac:dyDescent="0.2">
      <c r="B18" s="18">
        <v>9</v>
      </c>
      <c r="C18" s="18">
        <v>152.91</v>
      </c>
      <c r="O18" s="8"/>
      <c r="T18" s="6"/>
    </row>
    <row r="19" spans="2:20" ht="19" x14ac:dyDescent="0.2">
      <c r="B19" s="18">
        <v>10</v>
      </c>
      <c r="C19" s="18" t="s">
        <v>26</v>
      </c>
      <c r="O19" s="8"/>
      <c r="P19" s="7" t="s">
        <v>1</v>
      </c>
      <c r="R19" s="7" t="s">
        <v>0</v>
      </c>
      <c r="T19" s="6"/>
    </row>
    <row r="20" spans="2:20" ht="16" x14ac:dyDescent="0.2">
      <c r="B20" s="18">
        <v>11</v>
      </c>
      <c r="C20" s="18" t="s">
        <v>26</v>
      </c>
      <c r="O20" s="8"/>
      <c r="P20" s="10">
        <f>P17/P8</f>
        <v>321.7280359598002</v>
      </c>
      <c r="R20" s="13">
        <f>R17/P8</f>
        <v>1.3542851199883826E-2</v>
      </c>
      <c r="T20" s="6"/>
    </row>
    <row r="21" spans="2:20" x14ac:dyDescent="0.2">
      <c r="B21" s="18">
        <v>12</v>
      </c>
      <c r="C21" s="18" t="s">
        <v>26</v>
      </c>
      <c r="O21" s="8"/>
      <c r="T21" s="6"/>
    </row>
    <row r="22" spans="2:20" x14ac:dyDescent="0.2">
      <c r="B22" s="18">
        <v>13</v>
      </c>
      <c r="C22" s="18">
        <v>150.83000000000001</v>
      </c>
      <c r="O22" s="8"/>
      <c r="T22" s="6"/>
    </row>
    <row r="23" spans="2:20" x14ac:dyDescent="0.2">
      <c r="B23" s="18">
        <v>14</v>
      </c>
      <c r="C23" s="18" t="s">
        <v>26</v>
      </c>
      <c r="O23" s="8" t="s">
        <v>13</v>
      </c>
      <c r="P23" t="s">
        <v>12</v>
      </c>
      <c r="Q23" t="s">
        <v>11</v>
      </c>
      <c r="R23" t="s">
        <v>10</v>
      </c>
      <c r="S23" t="s">
        <v>9</v>
      </c>
      <c r="T23" s="6" t="s">
        <v>8</v>
      </c>
    </row>
    <row r="24" spans="2:20" x14ac:dyDescent="0.2">
      <c r="B24" s="18">
        <v>15</v>
      </c>
      <c r="C24" s="18" t="s">
        <v>26</v>
      </c>
      <c r="O24" s="8"/>
      <c r="P24">
        <v>2.5000000000000001E-2</v>
      </c>
      <c r="Q24">
        <v>149.22999999999999</v>
      </c>
      <c r="R24">
        <v>1.5</v>
      </c>
      <c r="S24">
        <v>298</v>
      </c>
      <c r="T24" s="12">
        <v>4.3900000000000003E-5</v>
      </c>
    </row>
    <row r="25" spans="2:20" x14ac:dyDescent="0.2">
      <c r="B25" s="18">
        <v>16</v>
      </c>
      <c r="C25" s="18" t="s">
        <v>26</v>
      </c>
      <c r="O25" s="8"/>
      <c r="R25" t="s">
        <v>7</v>
      </c>
      <c r="T25" s="6"/>
    </row>
    <row r="26" spans="2:20" ht="19" x14ac:dyDescent="0.2">
      <c r="B26" s="18">
        <v>17</v>
      </c>
      <c r="C26" s="18" t="s">
        <v>26</v>
      </c>
      <c r="O26" s="8"/>
      <c r="R26">
        <f>R24*249.174</f>
        <v>373.76100000000002</v>
      </c>
      <c r="T26" s="6" t="s">
        <v>6</v>
      </c>
    </row>
    <row r="27" spans="2:20" x14ac:dyDescent="0.2">
      <c r="B27" s="18">
        <v>18</v>
      </c>
      <c r="C27" s="18" t="s">
        <v>26</v>
      </c>
      <c r="O27" s="8"/>
      <c r="T27" s="6">
        <f>((T24/2)^2)*3.14159</f>
        <v>1.5136259159750002E-9</v>
      </c>
    </row>
    <row r="28" spans="2:20" x14ac:dyDescent="0.2">
      <c r="B28" s="18">
        <v>19</v>
      </c>
      <c r="C28" s="18" t="s">
        <v>26</v>
      </c>
      <c r="O28" s="8"/>
      <c r="T28" s="6"/>
    </row>
    <row r="29" spans="2:20" ht="16" x14ac:dyDescent="0.2">
      <c r="O29" s="8"/>
      <c r="P29" s="7" t="s">
        <v>5</v>
      </c>
      <c r="R29" s="7" t="s">
        <v>4</v>
      </c>
      <c r="T29" s="6"/>
    </row>
    <row r="30" spans="2:20" ht="16" x14ac:dyDescent="0.2">
      <c r="O30" s="8"/>
      <c r="P30" s="11">
        <f>P24/Q24</f>
        <v>1.6752663673524093E-4</v>
      </c>
      <c r="R30" s="10">
        <f>P30/23756.3</f>
        <v>7.0518825210677143E-9</v>
      </c>
      <c r="T30" s="6"/>
    </row>
    <row r="31" spans="2:20" x14ac:dyDescent="0.2">
      <c r="O31" s="8"/>
      <c r="T31" s="6"/>
    </row>
    <row r="32" spans="2:20" ht="19" x14ac:dyDescent="0.2">
      <c r="C32" t="s">
        <v>28</v>
      </c>
      <c r="O32" s="8"/>
      <c r="P32" s="7" t="s">
        <v>3</v>
      </c>
      <c r="R32" s="7" t="s">
        <v>2</v>
      </c>
      <c r="T32" s="6"/>
    </row>
    <row r="33" spans="15:20" ht="16" x14ac:dyDescent="0.2">
      <c r="O33" s="8"/>
      <c r="P33" s="10">
        <f>P30/T27</f>
        <v>110679.02245009386</v>
      </c>
      <c r="R33" s="9">
        <f>R30/T27</f>
        <v>4.6589335229010356</v>
      </c>
      <c r="T33" s="6"/>
    </row>
    <row r="34" spans="15:20" x14ac:dyDescent="0.2">
      <c r="O34" s="8"/>
      <c r="T34" s="6"/>
    </row>
    <row r="35" spans="15:20" ht="19" x14ac:dyDescent="0.2">
      <c r="O35" s="8"/>
      <c r="P35" s="7" t="s">
        <v>1</v>
      </c>
      <c r="R35" s="7" t="s">
        <v>0</v>
      </c>
      <c r="T35" s="6"/>
    </row>
    <row r="36" spans="15:20" ht="16" x14ac:dyDescent="0.2">
      <c r="O36" s="5"/>
      <c r="P36" s="4">
        <f>P33/R26</f>
        <v>296.12244843655134</v>
      </c>
      <c r="Q36" s="2"/>
      <c r="R36" s="3">
        <f>R33/R26</f>
        <v>1.2465007111231604E-2</v>
      </c>
      <c r="S36" s="2"/>
      <c r="T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1B41-9B50-430F-A7EF-6C173D6D8500}">
  <dimension ref="B6:O39"/>
  <sheetViews>
    <sheetView workbookViewId="0">
      <selection activeCell="E9" sqref="E9"/>
    </sheetView>
  </sheetViews>
  <sheetFormatPr baseColWidth="10" defaultColWidth="8.83203125" defaultRowHeight="15" x14ac:dyDescent="0.2"/>
  <cols>
    <col min="4" max="4" width="20.1640625" bestFit="1" customWidth="1"/>
    <col min="10" max="10" width="28.1640625" bestFit="1" customWidth="1"/>
    <col min="11" max="11" width="25.33203125" bestFit="1" customWidth="1"/>
    <col min="12" max="12" width="9" bestFit="1" customWidth="1"/>
    <col min="13" max="13" width="26.33203125" bestFit="1" customWidth="1"/>
    <col min="14" max="14" width="17.5" bestFit="1" customWidth="1"/>
    <col min="15" max="15" width="23.5" bestFit="1" customWidth="1"/>
  </cols>
  <sheetData>
    <row r="6" spans="2:15" ht="19" x14ac:dyDescent="0.25">
      <c r="D6" s="18" t="s">
        <v>25</v>
      </c>
      <c r="J6" s="17" t="s">
        <v>24</v>
      </c>
      <c r="K6" s="16"/>
      <c r="L6" s="16"/>
      <c r="M6" s="16"/>
      <c r="N6" s="16"/>
      <c r="O6" s="15"/>
    </row>
    <row r="7" spans="2:15" ht="18" x14ac:dyDescent="0.25">
      <c r="B7" t="s">
        <v>56</v>
      </c>
      <c r="D7" s="18"/>
      <c r="J7" s="8" t="s">
        <v>30</v>
      </c>
      <c r="K7" t="s">
        <v>22</v>
      </c>
      <c r="L7" t="s">
        <v>21</v>
      </c>
      <c r="M7" t="s">
        <v>20</v>
      </c>
      <c r="N7" t="s">
        <v>19</v>
      </c>
      <c r="O7" s="6" t="s">
        <v>18</v>
      </c>
    </row>
    <row r="8" spans="2:15" x14ac:dyDescent="0.2">
      <c r="D8" s="18" t="s">
        <v>27</v>
      </c>
      <c r="E8" t="s">
        <v>61</v>
      </c>
      <c r="J8" s="8"/>
      <c r="K8">
        <v>1.5</v>
      </c>
      <c r="L8">
        <v>298</v>
      </c>
      <c r="M8" s="14">
        <v>4.3900000000000003E-5</v>
      </c>
      <c r="N8" s="14">
        <v>1.0000000000000001E-9</v>
      </c>
      <c r="O8" s="6">
        <v>23756.3</v>
      </c>
    </row>
    <row r="9" spans="2:15" x14ac:dyDescent="0.2">
      <c r="D9" s="18">
        <v>1</v>
      </c>
      <c r="E9">
        <v>70.89</v>
      </c>
      <c r="J9" s="8"/>
      <c r="O9" s="6"/>
    </row>
    <row r="10" spans="2:15" ht="19" x14ac:dyDescent="0.2">
      <c r="D10" s="18">
        <v>2</v>
      </c>
      <c r="E10">
        <v>71.55</v>
      </c>
      <c r="J10" s="8"/>
      <c r="K10" t="s">
        <v>17</v>
      </c>
      <c r="M10" t="s">
        <v>16</v>
      </c>
      <c r="N10" t="s">
        <v>15</v>
      </c>
      <c r="O10" s="6"/>
    </row>
    <row r="11" spans="2:15" x14ac:dyDescent="0.2">
      <c r="D11" s="18">
        <v>3</v>
      </c>
      <c r="E11" t="s">
        <v>45</v>
      </c>
      <c r="J11" s="8"/>
      <c r="K11">
        <f>K8*249.174</f>
        <v>373.76100000000002</v>
      </c>
      <c r="M11">
        <f>((M8/2)^2)*3.14159</f>
        <v>1.5136259159750002E-9</v>
      </c>
      <c r="N11">
        <f>((N8/2)^2)*3.14159</f>
        <v>7.8539750000000004E-19</v>
      </c>
      <c r="O11" s="6"/>
    </row>
    <row r="12" spans="2:15" x14ac:dyDescent="0.2">
      <c r="D12" s="18">
        <v>4</v>
      </c>
      <c r="E12" t="s">
        <v>45</v>
      </c>
      <c r="J12" s="8"/>
      <c r="O12" s="6"/>
    </row>
    <row r="13" spans="2:15" x14ac:dyDescent="0.2">
      <c r="D13" s="18">
        <v>5</v>
      </c>
      <c r="E13">
        <v>70.680000000000007</v>
      </c>
      <c r="J13" s="8"/>
      <c r="M13" t="s">
        <v>14</v>
      </c>
      <c r="O13" s="6"/>
    </row>
    <row r="14" spans="2:15" x14ac:dyDescent="0.2">
      <c r="D14" s="18">
        <v>6</v>
      </c>
      <c r="E14" t="s">
        <v>50</v>
      </c>
      <c r="J14" s="8"/>
      <c r="M14">
        <f>M11*360000000000000000</f>
        <v>544905329.75100005</v>
      </c>
      <c r="O14" s="6"/>
    </row>
    <row r="15" spans="2:15" x14ac:dyDescent="0.2">
      <c r="D15" s="18"/>
      <c r="J15" s="8"/>
      <c r="O15" s="6"/>
    </row>
    <row r="16" spans="2:15" ht="16" x14ac:dyDescent="0.2">
      <c r="D16" s="18"/>
      <c r="J16" s="8"/>
      <c r="K16" s="7" t="s">
        <v>5</v>
      </c>
      <c r="M16" s="7" t="s">
        <v>4</v>
      </c>
      <c r="O16" s="6"/>
    </row>
    <row r="17" spans="4:15" ht="16" x14ac:dyDescent="0.2">
      <c r="D17" s="18"/>
      <c r="J17" s="8"/>
      <c r="K17" s="11">
        <f>(K11*N11*O8*M14)/(SQRT(2*3.14159*0.004003*L8*8.314))</f>
        <v>4.8137958307834568E-4</v>
      </c>
      <c r="M17" s="9">
        <f>(K11*N11*M14)/(SQRT(2*3.14159*0.004003*L8*8.314))</f>
        <v>2.0263238933602693E-8</v>
      </c>
      <c r="O17" s="6"/>
    </row>
    <row r="18" spans="4:15" x14ac:dyDescent="0.2">
      <c r="J18" s="8"/>
      <c r="O18" s="6"/>
    </row>
    <row r="19" spans="4:15" ht="19" x14ac:dyDescent="0.2">
      <c r="J19" s="8"/>
      <c r="K19" s="7" t="s">
        <v>3</v>
      </c>
      <c r="M19" s="7" t="s">
        <v>2</v>
      </c>
      <c r="O19" s="6"/>
    </row>
    <row r="20" spans="4:15" ht="16" x14ac:dyDescent="0.2">
      <c r="J20" s="8"/>
      <c r="K20" s="10">
        <f>K17/M11</f>
        <v>318030.74854744785</v>
      </c>
      <c r="M20" s="9">
        <f>M17/M11</f>
        <v>13.387217224376178</v>
      </c>
      <c r="O20" s="6"/>
    </row>
    <row r="21" spans="4:15" x14ac:dyDescent="0.2">
      <c r="J21" s="8"/>
      <c r="O21" s="6"/>
    </row>
    <row r="22" spans="4:15" ht="19" x14ac:dyDescent="0.2">
      <c r="J22" s="8"/>
      <c r="K22" s="7" t="s">
        <v>1</v>
      </c>
      <c r="M22" s="7" t="s">
        <v>0</v>
      </c>
      <c r="O22" s="6"/>
    </row>
    <row r="23" spans="4:15" ht="16" x14ac:dyDescent="0.2">
      <c r="J23" s="8"/>
      <c r="K23" s="10">
        <f>K20/K11</f>
        <v>850.89334774748522</v>
      </c>
      <c r="M23" s="13">
        <f>M20/K11</f>
        <v>3.5817587239910471E-2</v>
      </c>
      <c r="O23" s="6"/>
    </row>
    <row r="24" spans="4:15" x14ac:dyDescent="0.2">
      <c r="J24" s="8"/>
      <c r="O24" s="6"/>
    </row>
    <row r="25" spans="4:15" x14ac:dyDescent="0.2">
      <c r="J25" s="8"/>
      <c r="O25" s="6"/>
    </row>
    <row r="26" spans="4:15" x14ac:dyDescent="0.2">
      <c r="J26" s="8" t="s">
        <v>29</v>
      </c>
      <c r="K26" t="s">
        <v>12</v>
      </c>
      <c r="L26" t="s">
        <v>11</v>
      </c>
      <c r="M26" t="s">
        <v>10</v>
      </c>
      <c r="N26" t="s">
        <v>9</v>
      </c>
      <c r="O26" s="6" t="s">
        <v>8</v>
      </c>
    </row>
    <row r="27" spans="4:15" x14ac:dyDescent="0.2">
      <c r="J27" s="8"/>
      <c r="K27">
        <v>2.5000000000000001E-2</v>
      </c>
      <c r="L27">
        <v>70.89</v>
      </c>
      <c r="M27">
        <v>1.5</v>
      </c>
      <c r="N27">
        <v>298</v>
      </c>
      <c r="O27" s="12">
        <v>4.3900000000000003E-5</v>
      </c>
    </row>
    <row r="28" spans="4:15" x14ac:dyDescent="0.2">
      <c r="J28" s="8"/>
      <c r="M28" t="s">
        <v>7</v>
      </c>
      <c r="O28" s="6"/>
    </row>
    <row r="29" spans="4:15" ht="19" x14ac:dyDescent="0.2">
      <c r="J29" s="8"/>
      <c r="M29">
        <f>M27*249.174</f>
        <v>373.76100000000002</v>
      </c>
      <c r="O29" s="6" t="s">
        <v>6</v>
      </c>
    </row>
    <row r="30" spans="4:15" x14ac:dyDescent="0.2">
      <c r="J30" s="8"/>
      <c r="O30" s="6">
        <f>((O27/2)^2)*3.14159</f>
        <v>1.5136259159750002E-9</v>
      </c>
    </row>
    <row r="31" spans="4:15" x14ac:dyDescent="0.2">
      <c r="J31" s="8"/>
      <c r="O31" s="6"/>
    </row>
    <row r="32" spans="4:15" ht="16" x14ac:dyDescent="0.2">
      <c r="J32" s="8"/>
      <c r="K32" s="7" t="s">
        <v>5</v>
      </c>
      <c r="M32" s="7" t="s">
        <v>4</v>
      </c>
      <c r="O32" s="6"/>
    </row>
    <row r="33" spans="10:15" ht="16" x14ac:dyDescent="0.2">
      <c r="J33" s="8"/>
      <c r="K33" s="11">
        <f>K27/L27</f>
        <v>3.5265904923120327E-4</v>
      </c>
      <c r="M33" s="10">
        <f>K33/23756.3</f>
        <v>1.484486427731605E-8</v>
      </c>
      <c r="O33" s="6"/>
    </row>
    <row r="34" spans="10:15" x14ac:dyDescent="0.2">
      <c r="J34" s="8"/>
      <c r="O34" s="6"/>
    </row>
    <row r="35" spans="10:15" ht="19" x14ac:dyDescent="0.2">
      <c r="J35" s="8"/>
      <c r="K35" s="7" t="s">
        <v>3</v>
      </c>
      <c r="M35" s="7" t="s">
        <v>2</v>
      </c>
      <c r="O35" s="6"/>
    </row>
    <row r="36" spans="10:15" ht="16" x14ac:dyDescent="0.2">
      <c r="J36" s="8"/>
      <c r="K36" s="10">
        <f>K33/O30</f>
        <v>232989.56863066024</v>
      </c>
      <c r="M36" s="9">
        <f>M33/O30</f>
        <v>9.8074855356541306</v>
      </c>
      <c r="O36" s="6"/>
    </row>
    <row r="37" spans="10:15" x14ac:dyDescent="0.2">
      <c r="J37" s="8"/>
      <c r="O37" s="6"/>
    </row>
    <row r="38" spans="10:15" ht="19" x14ac:dyDescent="0.2">
      <c r="J38" s="8"/>
      <c r="K38" s="7" t="s">
        <v>1</v>
      </c>
      <c r="M38" s="7" t="s">
        <v>0</v>
      </c>
      <c r="O38" s="6"/>
    </row>
    <row r="39" spans="10:15" ht="16" x14ac:dyDescent="0.2">
      <c r="J39" s="5"/>
      <c r="K39" s="4">
        <f>K36/M29</f>
        <v>623.36511468735432</v>
      </c>
      <c r="L39" s="2"/>
      <c r="M39" s="3">
        <f>M36/M29</f>
        <v>2.6239991694302321E-2</v>
      </c>
      <c r="N39" s="2"/>
      <c r="O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DE52-0A95-4F4F-84DA-3B0DBBD6309C}">
  <dimension ref="B14:M47"/>
  <sheetViews>
    <sheetView topLeftCell="A10" workbookViewId="0">
      <selection activeCell="C19" sqref="C19"/>
    </sheetView>
  </sheetViews>
  <sheetFormatPr baseColWidth="10" defaultColWidth="8.83203125" defaultRowHeight="15" x14ac:dyDescent="0.2"/>
  <cols>
    <col min="2" max="2" width="20.1640625" bestFit="1" customWidth="1"/>
    <col min="8" max="8" width="28.1640625" bestFit="1" customWidth="1"/>
    <col min="9" max="9" width="25.33203125" bestFit="1" customWidth="1"/>
    <col min="10" max="10" width="9" bestFit="1" customWidth="1"/>
    <col min="11" max="11" width="26.33203125" bestFit="1" customWidth="1"/>
    <col min="12" max="12" width="17.5" bestFit="1" customWidth="1"/>
    <col min="13" max="13" width="23.5" bestFit="1" customWidth="1"/>
  </cols>
  <sheetData>
    <row r="14" spans="8:13" ht="19" x14ac:dyDescent="0.25">
      <c r="H14" s="17" t="s">
        <v>24</v>
      </c>
    </row>
    <row r="15" spans="8:13" ht="18" x14ac:dyDescent="0.25">
      <c r="H15" s="8" t="s">
        <v>43</v>
      </c>
      <c r="I15" t="s">
        <v>22</v>
      </c>
      <c r="J15" t="s">
        <v>21</v>
      </c>
      <c r="K15" t="s">
        <v>20</v>
      </c>
      <c r="L15" t="s">
        <v>19</v>
      </c>
      <c r="M15" s="6" t="s">
        <v>18</v>
      </c>
    </row>
    <row r="16" spans="8:13" x14ac:dyDescent="0.2">
      <c r="H16" s="8"/>
      <c r="I16">
        <v>1.5</v>
      </c>
      <c r="J16">
        <v>298</v>
      </c>
      <c r="K16" s="14">
        <v>4.3900000000000003E-5</v>
      </c>
      <c r="L16" s="14">
        <v>1.0000000000000001E-9</v>
      </c>
      <c r="M16" s="6">
        <v>23756.3</v>
      </c>
    </row>
    <row r="17" spans="2:13" x14ac:dyDescent="0.2">
      <c r="B17" s="18" t="s">
        <v>25</v>
      </c>
      <c r="H17" s="8"/>
      <c r="M17" s="6"/>
    </row>
    <row r="18" spans="2:13" ht="19" x14ac:dyDescent="0.2">
      <c r="B18" s="18"/>
      <c r="H18" s="8"/>
      <c r="I18" t="s">
        <v>17</v>
      </c>
      <c r="K18" t="s">
        <v>16</v>
      </c>
      <c r="L18" t="s">
        <v>15</v>
      </c>
      <c r="M18" s="6"/>
    </row>
    <row r="19" spans="2:13" x14ac:dyDescent="0.2">
      <c r="B19" s="18" t="s">
        <v>27</v>
      </c>
      <c r="C19" t="s">
        <v>55</v>
      </c>
      <c r="H19" s="8"/>
      <c r="I19">
        <f>I16*249.174</f>
        <v>373.76100000000002</v>
      </c>
      <c r="K19">
        <f>((K16/2)^2)*3.14159</f>
        <v>1.5136259159750002E-9</v>
      </c>
      <c r="L19">
        <f>((L16/2)^2)*3.14159</f>
        <v>7.8539750000000004E-19</v>
      </c>
      <c r="M19" s="6"/>
    </row>
    <row r="20" spans="2:13" x14ac:dyDescent="0.2">
      <c r="B20" s="18">
        <v>1</v>
      </c>
      <c r="C20">
        <v>36.49</v>
      </c>
      <c r="H20" s="8"/>
      <c r="M20" s="6"/>
    </row>
    <row r="21" spans="2:13" x14ac:dyDescent="0.2">
      <c r="B21" s="18">
        <v>2</v>
      </c>
      <c r="C21">
        <v>39.57</v>
      </c>
      <c r="H21" s="8"/>
      <c r="K21" t="s">
        <v>14</v>
      </c>
      <c r="M21" s="6"/>
    </row>
    <row r="22" spans="2:13" x14ac:dyDescent="0.2">
      <c r="B22" s="18">
        <v>3</v>
      </c>
      <c r="C22" t="s">
        <v>45</v>
      </c>
      <c r="H22" s="8"/>
      <c r="K22">
        <f>K19*360000000000000000</f>
        <v>544905329.75100005</v>
      </c>
      <c r="M22" s="6"/>
    </row>
    <row r="23" spans="2:13" x14ac:dyDescent="0.2">
      <c r="B23" s="18">
        <v>4</v>
      </c>
      <c r="C23" t="s">
        <v>45</v>
      </c>
      <c r="H23" s="8"/>
      <c r="M23" s="6"/>
    </row>
    <row r="24" spans="2:13" ht="16" x14ac:dyDescent="0.2">
      <c r="B24" s="18"/>
      <c r="H24" s="8"/>
      <c r="I24" s="7" t="s">
        <v>5</v>
      </c>
      <c r="K24" s="7" t="s">
        <v>4</v>
      </c>
      <c r="M24" s="6"/>
    </row>
    <row r="25" spans="2:13" ht="16" x14ac:dyDescent="0.2">
      <c r="B25" s="18"/>
      <c r="H25" s="8"/>
      <c r="I25" s="11">
        <f>(I19*L19*M16*K22)/(SQRT(2*3.14159*0.00201*J16*8.314))</f>
        <v>6.7933256348039618E-4</v>
      </c>
      <c r="K25" s="9">
        <f>(I19*L19*K22)/(SQRT(2*3.14159*0.00201*J16*8.314))</f>
        <v>2.8595890920740866E-8</v>
      </c>
      <c r="M25" s="6"/>
    </row>
    <row r="26" spans="2:13" x14ac:dyDescent="0.2">
      <c r="B26" s="18"/>
      <c r="H26" s="8"/>
      <c r="M26" s="6"/>
    </row>
    <row r="27" spans="2:13" ht="19" x14ac:dyDescent="0.2">
      <c r="B27" s="18"/>
      <c r="H27" s="8"/>
      <c r="I27" s="7" t="s">
        <v>3</v>
      </c>
      <c r="K27" s="7" t="s">
        <v>2</v>
      </c>
      <c r="M27" s="6"/>
    </row>
    <row r="28" spans="2:13" ht="16" x14ac:dyDescent="0.2">
      <c r="B28" s="18"/>
      <c r="H28" s="8"/>
      <c r="I28" s="10">
        <f>I25/K19</f>
        <v>448811.398054588</v>
      </c>
      <c r="K28" s="9">
        <f>K25/K19</f>
        <v>18.892310589384206</v>
      </c>
      <c r="M28" s="6"/>
    </row>
    <row r="29" spans="2:13" x14ac:dyDescent="0.2">
      <c r="H29" s="8"/>
      <c r="M29" s="6"/>
    </row>
    <row r="30" spans="2:13" ht="19" x14ac:dyDescent="0.2">
      <c r="H30" s="8"/>
      <c r="I30" s="7" t="s">
        <v>1</v>
      </c>
      <c r="K30" s="7" t="s">
        <v>0</v>
      </c>
      <c r="M30" s="6"/>
    </row>
    <row r="31" spans="2:13" ht="16" x14ac:dyDescent="0.2">
      <c r="H31" s="8"/>
      <c r="I31" s="10">
        <f>I28/I19</f>
        <v>1200.7978308453476</v>
      </c>
      <c r="K31" s="13">
        <f>K28/I19</f>
        <v>5.0546500542818014E-2</v>
      </c>
      <c r="M31" s="6"/>
    </row>
    <row r="32" spans="2:13" x14ac:dyDescent="0.2">
      <c r="H32" s="8"/>
      <c r="M32" s="6"/>
    </row>
    <row r="33" spans="8:13" x14ac:dyDescent="0.2">
      <c r="H33" s="8"/>
      <c r="M33" s="6"/>
    </row>
    <row r="34" spans="8:13" x14ac:dyDescent="0.2">
      <c r="H34" s="8" t="s">
        <v>44</v>
      </c>
      <c r="I34" t="s">
        <v>12</v>
      </c>
      <c r="J34" t="s">
        <v>11</v>
      </c>
      <c r="K34" t="s">
        <v>10</v>
      </c>
      <c r="L34" t="s">
        <v>9</v>
      </c>
      <c r="M34" s="6" t="s">
        <v>8</v>
      </c>
    </row>
    <row r="35" spans="8:13" x14ac:dyDescent="0.2">
      <c r="H35" s="8"/>
      <c r="I35">
        <v>2.5000000000000001E-2</v>
      </c>
      <c r="J35">
        <v>36.49</v>
      </c>
      <c r="K35">
        <v>1.5</v>
      </c>
      <c r="L35">
        <v>298</v>
      </c>
      <c r="M35" s="12">
        <v>4.3900000000000003E-5</v>
      </c>
    </row>
    <row r="36" spans="8:13" x14ac:dyDescent="0.2">
      <c r="H36" s="8"/>
      <c r="K36" t="s">
        <v>7</v>
      </c>
      <c r="M36" s="6"/>
    </row>
    <row r="37" spans="8:13" ht="19" x14ac:dyDescent="0.2">
      <c r="H37" s="8"/>
      <c r="K37">
        <f>K35*249.174</f>
        <v>373.76100000000002</v>
      </c>
      <c r="M37" s="6" t="s">
        <v>6</v>
      </c>
    </row>
    <row r="38" spans="8:13" x14ac:dyDescent="0.2">
      <c r="H38" s="8"/>
      <c r="M38" s="6">
        <f>((M35/2)^2)*3.14159</f>
        <v>1.5136259159750002E-9</v>
      </c>
    </row>
    <row r="39" spans="8:13" x14ac:dyDescent="0.2">
      <c r="H39" s="8"/>
      <c r="M39" s="6"/>
    </row>
    <row r="40" spans="8:13" ht="16" x14ac:dyDescent="0.2">
      <c r="H40" s="8"/>
      <c r="I40" s="7" t="s">
        <v>5</v>
      </c>
      <c r="K40" s="7" t="s">
        <v>4</v>
      </c>
      <c r="M40" s="6"/>
    </row>
    <row r="41" spans="8:13" ht="16" x14ac:dyDescent="0.2">
      <c r="H41" s="8"/>
      <c r="I41" s="11">
        <f>I35/J35</f>
        <v>6.8511921074266918E-4</v>
      </c>
      <c r="K41" s="10">
        <f>I41/23756.3</f>
        <v>2.8839474612741427E-8</v>
      </c>
      <c r="M41" s="6"/>
    </row>
    <row r="42" spans="8:13" x14ac:dyDescent="0.2">
      <c r="H42" s="8"/>
      <c r="M42" s="6"/>
    </row>
    <row r="43" spans="8:13" ht="19" x14ac:dyDescent="0.2">
      <c r="H43" s="8"/>
      <c r="I43" s="7" t="s">
        <v>3</v>
      </c>
      <c r="K43" s="7" t="s">
        <v>2</v>
      </c>
      <c r="M43" s="6"/>
    </row>
    <row r="44" spans="8:13" ht="16" x14ac:dyDescent="0.2">
      <c r="H44" s="8"/>
      <c r="I44" s="10">
        <f>I41/M38</f>
        <v>452634.43464586197</v>
      </c>
      <c r="K44" s="9">
        <f>K41/M38</f>
        <v>19.053237863045254</v>
      </c>
      <c r="M44" s="6"/>
    </row>
    <row r="45" spans="8:13" x14ac:dyDescent="0.2">
      <c r="H45" s="8"/>
      <c r="M45" s="6"/>
    </row>
    <row r="46" spans="8:13" ht="19" x14ac:dyDescent="0.2">
      <c r="H46" s="8"/>
      <c r="I46" s="7" t="s">
        <v>1</v>
      </c>
      <c r="K46" s="7" t="s">
        <v>0</v>
      </c>
      <c r="M46" s="6"/>
    </row>
    <row r="47" spans="8:13" ht="16" x14ac:dyDescent="0.2">
      <c r="H47" s="5"/>
      <c r="I47" s="4">
        <f>I44/K37</f>
        <v>1211.0263902490146</v>
      </c>
      <c r="J47" s="2"/>
      <c r="K47" s="3">
        <f>K44/K37</f>
        <v>5.0977062516006894E-2</v>
      </c>
      <c r="L47" s="2"/>
      <c r="M4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8E9E-B251-42F4-89D2-8CE6E15908F3}">
  <dimension ref="C7:V40"/>
  <sheetViews>
    <sheetView workbookViewId="0">
      <selection activeCell="G32" sqref="G32"/>
    </sheetView>
  </sheetViews>
  <sheetFormatPr baseColWidth="10" defaultColWidth="8.83203125" defaultRowHeight="15" x14ac:dyDescent="0.2"/>
  <cols>
    <col min="3" max="3" width="20.1640625" bestFit="1" customWidth="1"/>
    <col min="17" max="17" width="28.1640625" bestFit="1" customWidth="1"/>
    <col min="18" max="18" width="25.33203125" bestFit="1" customWidth="1"/>
    <col min="19" max="19" width="9" bestFit="1" customWidth="1"/>
    <col min="20" max="20" width="26.33203125" bestFit="1" customWidth="1"/>
    <col min="21" max="21" width="17.5" bestFit="1" customWidth="1"/>
    <col min="22" max="22" width="23.5" bestFit="1" customWidth="1"/>
  </cols>
  <sheetData>
    <row r="7" spans="3:22" ht="19" x14ac:dyDescent="0.25">
      <c r="Q7" s="17" t="s">
        <v>24</v>
      </c>
      <c r="R7" s="16"/>
      <c r="S7" s="16"/>
      <c r="T7" s="16"/>
      <c r="U7" s="16"/>
      <c r="V7" s="15"/>
    </row>
    <row r="8" spans="3:22" ht="18" x14ac:dyDescent="0.25">
      <c r="Q8" s="8" t="s">
        <v>31</v>
      </c>
      <c r="R8" t="s">
        <v>22</v>
      </c>
      <c r="S8" t="s">
        <v>21</v>
      </c>
      <c r="T8" t="s">
        <v>20</v>
      </c>
      <c r="U8" t="s">
        <v>19</v>
      </c>
      <c r="V8" s="6" t="s">
        <v>18</v>
      </c>
    </row>
    <row r="9" spans="3:22" x14ac:dyDescent="0.2">
      <c r="C9" s="18" t="s">
        <v>25</v>
      </c>
      <c r="Q9" s="8"/>
      <c r="R9">
        <v>1.5</v>
      </c>
      <c r="S9">
        <v>298</v>
      </c>
      <c r="T9" s="14">
        <v>4.3900000000000003E-5</v>
      </c>
      <c r="U9" s="14">
        <v>1.0000000000000001E-9</v>
      </c>
      <c r="V9" s="6">
        <v>23756.3</v>
      </c>
    </row>
    <row r="10" spans="3:22" x14ac:dyDescent="0.2">
      <c r="C10" s="18" t="s">
        <v>57</v>
      </c>
      <c r="Q10" s="8"/>
      <c r="V10" s="6"/>
    </row>
    <row r="11" spans="3:22" ht="19" x14ac:dyDescent="0.2">
      <c r="C11" s="18" t="s">
        <v>27</v>
      </c>
      <c r="D11" t="s">
        <v>47</v>
      </c>
      <c r="Q11" s="8"/>
      <c r="R11" t="s">
        <v>17</v>
      </c>
      <c r="T11" t="s">
        <v>16</v>
      </c>
      <c r="U11" t="s">
        <v>15</v>
      </c>
      <c r="V11" s="6"/>
    </row>
    <row r="12" spans="3:22" x14ac:dyDescent="0.2">
      <c r="C12" s="18">
        <v>1</v>
      </c>
      <c r="D12" t="s">
        <v>45</v>
      </c>
      <c r="Q12" s="8"/>
      <c r="R12">
        <f>R9*249.174</f>
        <v>373.76100000000002</v>
      </c>
      <c r="T12">
        <f>((T9/2)^2)*3.14159</f>
        <v>1.5136259159750002E-9</v>
      </c>
      <c r="U12">
        <f>((U9/2)^2)*3.14159</f>
        <v>7.8539750000000004E-19</v>
      </c>
      <c r="V12" s="6"/>
    </row>
    <row r="13" spans="3:22" x14ac:dyDescent="0.2">
      <c r="C13" s="18">
        <v>2</v>
      </c>
      <c r="D13" t="s">
        <v>45</v>
      </c>
      <c r="Q13" s="8"/>
      <c r="V13" s="6"/>
    </row>
    <row r="14" spans="3:22" x14ac:dyDescent="0.2">
      <c r="C14" s="18">
        <v>3</v>
      </c>
      <c r="D14" t="s">
        <v>46</v>
      </c>
      <c r="Q14" s="8"/>
      <c r="T14" t="s">
        <v>14</v>
      </c>
      <c r="V14" s="6"/>
    </row>
    <row r="15" spans="3:22" x14ac:dyDescent="0.2">
      <c r="C15" s="18">
        <v>4</v>
      </c>
      <c r="D15" t="s">
        <v>45</v>
      </c>
      <c r="Q15" s="8"/>
      <c r="T15">
        <f>T12*360000000000000000</f>
        <v>544905329.75100005</v>
      </c>
      <c r="V15" s="6"/>
    </row>
    <row r="16" spans="3:22" x14ac:dyDescent="0.2">
      <c r="C16" s="18">
        <v>5</v>
      </c>
      <c r="D16" t="s">
        <v>49</v>
      </c>
      <c r="Q16" s="8"/>
      <c r="V16" s="6"/>
    </row>
    <row r="17" spans="3:22" ht="16" x14ac:dyDescent="0.2">
      <c r="C17" s="18">
        <v>6</v>
      </c>
      <c r="D17" t="s">
        <v>45</v>
      </c>
      <c r="Q17" s="8"/>
      <c r="R17" s="7" t="s">
        <v>5</v>
      </c>
      <c r="T17" s="7" t="s">
        <v>4</v>
      </c>
      <c r="V17" s="6"/>
    </row>
    <row r="18" spans="3:22" ht="16" x14ac:dyDescent="0.2">
      <c r="C18" s="18">
        <v>7</v>
      </c>
      <c r="D18" t="s">
        <v>45</v>
      </c>
      <c r="Q18" s="8"/>
      <c r="R18" s="11">
        <f>(R12*U12*V9*T15)/(SQRT(2*3.14159*0.14606*S9*8.314))</f>
        <v>7.9692015974992375E-5</v>
      </c>
      <c r="T18" s="9">
        <f>(R12*U12*T15)/(SQRT(2*3.14159*0.14606*S9*8.314))</f>
        <v>3.354563462112887E-9</v>
      </c>
      <c r="V18" s="6"/>
    </row>
    <row r="19" spans="3:22" x14ac:dyDescent="0.2">
      <c r="C19" s="18">
        <v>8</v>
      </c>
      <c r="D19" t="s">
        <v>45</v>
      </c>
      <c r="Q19" s="8"/>
      <c r="V19" s="6"/>
    </row>
    <row r="20" spans="3:22" ht="19" x14ac:dyDescent="0.2">
      <c r="C20" s="18">
        <v>9</v>
      </c>
      <c r="D20" t="s">
        <v>48</v>
      </c>
      <c r="Q20" s="8"/>
      <c r="R20" s="7" t="s">
        <v>3</v>
      </c>
      <c r="T20" s="7" t="s">
        <v>2</v>
      </c>
      <c r="V20" s="6"/>
    </row>
    <row r="21" spans="3:22" ht="16" x14ac:dyDescent="0.2">
      <c r="C21" s="18">
        <v>10</v>
      </c>
      <c r="D21" t="s">
        <v>45</v>
      </c>
      <c r="Q21" s="8"/>
      <c r="R21" s="10">
        <f>R18/T12</f>
        <v>52649.743330840676</v>
      </c>
      <c r="T21" s="9">
        <f>T18/T12</f>
        <v>2.21624341041495</v>
      </c>
      <c r="V21" s="6"/>
    </row>
    <row r="22" spans="3:22" x14ac:dyDescent="0.2">
      <c r="C22" s="18">
        <v>11</v>
      </c>
      <c r="D22">
        <v>352.18</v>
      </c>
      <c r="Q22" s="8"/>
      <c r="V22" s="6"/>
    </row>
    <row r="23" spans="3:22" ht="19" x14ac:dyDescent="0.2">
      <c r="C23" s="18">
        <v>12</v>
      </c>
      <c r="D23">
        <v>347.82</v>
      </c>
      <c r="Q23" s="8"/>
      <c r="R23" s="7" t="s">
        <v>1</v>
      </c>
      <c r="T23" s="7" t="s">
        <v>0</v>
      </c>
      <c r="V23" s="6"/>
    </row>
    <row r="24" spans="3:22" ht="16" x14ac:dyDescent="0.2">
      <c r="Q24" s="8"/>
      <c r="R24" s="10">
        <f>R21/R12</f>
        <v>140.86473262550314</v>
      </c>
      <c r="T24" s="13">
        <f>T21/R12</f>
        <v>5.9295737394082044E-3</v>
      </c>
      <c r="V24" s="6"/>
    </row>
    <row r="25" spans="3:22" x14ac:dyDescent="0.2">
      <c r="Q25" s="8"/>
      <c r="V25" s="6"/>
    </row>
    <row r="26" spans="3:22" x14ac:dyDescent="0.2">
      <c r="Q26" s="8"/>
      <c r="V26" s="6"/>
    </row>
    <row r="27" spans="3:22" x14ac:dyDescent="0.2">
      <c r="Q27" s="8" t="s">
        <v>32</v>
      </c>
      <c r="R27" t="s">
        <v>12</v>
      </c>
      <c r="S27" t="s">
        <v>11</v>
      </c>
      <c r="T27" t="s">
        <v>10</v>
      </c>
      <c r="U27" t="s">
        <v>9</v>
      </c>
      <c r="V27" s="6" t="s">
        <v>8</v>
      </c>
    </row>
    <row r="28" spans="3:22" x14ac:dyDescent="0.2">
      <c r="Q28" s="8"/>
      <c r="R28">
        <v>2.5000000000000001E-2</v>
      </c>
      <c r="S28">
        <v>347.82</v>
      </c>
      <c r="T28">
        <v>1.5</v>
      </c>
      <c r="U28">
        <v>298</v>
      </c>
      <c r="V28" s="12">
        <v>4.3900000000000003E-5</v>
      </c>
    </row>
    <row r="29" spans="3:22" x14ac:dyDescent="0.2">
      <c r="Q29" s="8"/>
      <c r="T29" t="s">
        <v>7</v>
      </c>
      <c r="V29" s="6"/>
    </row>
    <row r="30" spans="3:22" ht="19" x14ac:dyDescent="0.2">
      <c r="Q30" s="8"/>
      <c r="T30">
        <f>T28*249.174</f>
        <v>373.76100000000002</v>
      </c>
      <c r="V30" s="6" t="s">
        <v>6</v>
      </c>
    </row>
    <row r="31" spans="3:22" x14ac:dyDescent="0.2">
      <c r="Q31" s="8"/>
      <c r="V31" s="6">
        <f>((V28/2)^2)*3.14159</f>
        <v>1.5136259159750002E-9</v>
      </c>
    </row>
    <row r="32" spans="3:22" x14ac:dyDescent="0.2">
      <c r="Q32" s="8"/>
      <c r="V32" s="6"/>
    </row>
    <row r="33" spans="17:22" ht="16" x14ac:dyDescent="0.2">
      <c r="Q33" s="8"/>
      <c r="R33" s="7" t="s">
        <v>5</v>
      </c>
      <c r="T33" s="7" t="s">
        <v>4</v>
      </c>
      <c r="V33" s="6"/>
    </row>
    <row r="34" spans="17:22" ht="16" x14ac:dyDescent="0.2">
      <c r="Q34" s="8"/>
      <c r="R34" s="11">
        <f>R28/S28</f>
        <v>7.187625783451211E-5</v>
      </c>
      <c r="T34" s="10">
        <f>R34/23756.3</f>
        <v>3.0255661796875824E-9</v>
      </c>
      <c r="V34" s="6"/>
    </row>
    <row r="35" spans="17:22" x14ac:dyDescent="0.2">
      <c r="Q35" s="8"/>
      <c r="V35" s="6"/>
    </row>
    <row r="36" spans="17:22" ht="19" x14ac:dyDescent="0.2">
      <c r="Q36" s="8"/>
      <c r="R36" s="7" t="s">
        <v>3</v>
      </c>
      <c r="T36" s="7" t="s">
        <v>2</v>
      </c>
      <c r="V36" s="6"/>
    </row>
    <row r="37" spans="17:22" ht="16" x14ac:dyDescent="0.2">
      <c r="Q37" s="8"/>
      <c r="R37" s="10">
        <f>R34/V31</f>
        <v>47486.143753169759</v>
      </c>
      <c r="T37" s="9">
        <f>T34/V31</f>
        <v>1.9988863481758423</v>
      </c>
      <c r="V37" s="6"/>
    </row>
    <row r="38" spans="17:22" x14ac:dyDescent="0.2">
      <c r="Q38" s="8"/>
      <c r="V38" s="6"/>
    </row>
    <row r="39" spans="17:22" ht="19" x14ac:dyDescent="0.2">
      <c r="Q39" s="8"/>
      <c r="R39" s="7" t="s">
        <v>1</v>
      </c>
      <c r="T39" s="7" t="s">
        <v>0</v>
      </c>
      <c r="V39" s="6"/>
    </row>
    <row r="40" spans="17:22" ht="16" x14ac:dyDescent="0.2">
      <c r="Q40" s="5"/>
      <c r="R40" s="4">
        <f>R37/T30</f>
        <v>127.04948818407955</v>
      </c>
      <c r="S40" s="2"/>
      <c r="T40" s="3">
        <f>T37/T30</f>
        <v>5.3480334978123515E-3</v>
      </c>
      <c r="U40" s="2"/>
      <c r="V4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708A-A483-4248-A9DC-981D35E650A5}">
  <dimension ref="A3:P41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20.1640625" bestFit="1" customWidth="1"/>
    <col min="11" max="11" width="28.1640625" bestFit="1" customWidth="1"/>
    <col min="12" max="12" width="25.33203125" bestFit="1" customWidth="1"/>
    <col min="13" max="13" width="9.33203125" bestFit="1" customWidth="1"/>
    <col min="14" max="14" width="26.33203125" bestFit="1" customWidth="1"/>
    <col min="15" max="15" width="18" bestFit="1" customWidth="1"/>
    <col min="16" max="16" width="24.33203125" bestFit="1" customWidth="1"/>
  </cols>
  <sheetData>
    <row r="3" spans="1:16" x14ac:dyDescent="0.2">
      <c r="B3" t="s">
        <v>54</v>
      </c>
    </row>
    <row r="5" spans="1:16" x14ac:dyDescent="0.2">
      <c r="A5" s="18" t="s">
        <v>25</v>
      </c>
    </row>
    <row r="6" spans="1:16" x14ac:dyDescent="0.2">
      <c r="A6" s="18"/>
    </row>
    <row r="7" spans="1:16" x14ac:dyDescent="0.2">
      <c r="A7" s="18" t="s">
        <v>27</v>
      </c>
      <c r="B7" t="s">
        <v>61</v>
      </c>
    </row>
    <row r="8" spans="1:16" ht="19" x14ac:dyDescent="0.25">
      <c r="A8" s="18">
        <v>1</v>
      </c>
      <c r="B8" t="s">
        <v>45</v>
      </c>
      <c r="K8" s="19" t="s">
        <v>24</v>
      </c>
      <c r="L8" s="20"/>
      <c r="M8" s="20"/>
      <c r="N8" s="20"/>
      <c r="O8" s="20"/>
      <c r="P8" s="21"/>
    </row>
    <row r="9" spans="1:16" ht="18" x14ac:dyDescent="0.25">
      <c r="A9" s="18">
        <v>2</v>
      </c>
      <c r="B9" t="s">
        <v>45</v>
      </c>
      <c r="K9" s="22" t="s">
        <v>33</v>
      </c>
      <c r="L9" s="23" t="s">
        <v>34</v>
      </c>
      <c r="M9" s="23" t="s">
        <v>21</v>
      </c>
      <c r="N9" s="23" t="s">
        <v>20</v>
      </c>
      <c r="O9" s="23" t="s">
        <v>19</v>
      </c>
      <c r="P9" s="24" t="s">
        <v>18</v>
      </c>
    </row>
    <row r="10" spans="1:16" ht="16" x14ac:dyDescent="0.2">
      <c r="A10" s="18">
        <v>3</v>
      </c>
      <c r="B10" t="s">
        <v>46</v>
      </c>
      <c r="K10" s="22"/>
      <c r="L10" s="23">
        <v>1.5</v>
      </c>
      <c r="M10" s="23">
        <v>298</v>
      </c>
      <c r="N10" s="25">
        <v>4.8000000000000001E-5</v>
      </c>
      <c r="O10" s="25">
        <v>1.0000000000000001E-9</v>
      </c>
      <c r="P10" s="24">
        <v>23756.3</v>
      </c>
    </row>
    <row r="11" spans="1:16" ht="16" x14ac:dyDescent="0.2">
      <c r="A11" s="18">
        <v>4</v>
      </c>
      <c r="B11" t="s">
        <v>46</v>
      </c>
      <c r="K11" s="22"/>
      <c r="L11" s="23"/>
      <c r="M11" s="23"/>
      <c r="N11" s="23"/>
      <c r="O11" s="23"/>
      <c r="P11" s="24"/>
    </row>
    <row r="12" spans="1:16" ht="19" x14ac:dyDescent="0.2">
      <c r="A12" s="18">
        <v>5</v>
      </c>
      <c r="B12">
        <v>184.37</v>
      </c>
      <c r="K12" s="22"/>
      <c r="L12" s="23" t="s">
        <v>17</v>
      </c>
      <c r="M12" s="23"/>
      <c r="N12" s="23" t="s">
        <v>35</v>
      </c>
      <c r="O12" s="23" t="s">
        <v>36</v>
      </c>
      <c r="P12" s="24"/>
    </row>
    <row r="13" spans="1:16" ht="16" x14ac:dyDescent="0.2">
      <c r="A13" s="18">
        <v>6</v>
      </c>
      <c r="B13" t="s">
        <v>46</v>
      </c>
      <c r="K13" s="22"/>
      <c r="L13" s="23">
        <v>373.76100000000002</v>
      </c>
      <c r="M13" s="23"/>
      <c r="N13" s="23">
        <v>1.5136300000000001E-9</v>
      </c>
      <c r="O13" s="23">
        <v>7.8539799999999999E-19</v>
      </c>
      <c r="P13" s="24"/>
    </row>
    <row r="14" spans="1:16" ht="16" x14ac:dyDescent="0.2">
      <c r="A14" s="18">
        <v>7</v>
      </c>
      <c r="B14" t="s">
        <v>45</v>
      </c>
      <c r="K14" s="22"/>
      <c r="L14" s="23"/>
      <c r="M14" s="23"/>
      <c r="N14" s="23"/>
      <c r="O14" s="23"/>
      <c r="P14" s="24"/>
    </row>
    <row r="15" spans="1:16" ht="16" x14ac:dyDescent="0.2">
      <c r="A15" s="18">
        <v>8</v>
      </c>
      <c r="B15">
        <v>177.63</v>
      </c>
      <c r="K15" s="22"/>
      <c r="L15" s="23"/>
      <c r="M15" s="23"/>
      <c r="N15" s="23" t="s">
        <v>14</v>
      </c>
      <c r="O15" s="23"/>
      <c r="P15" s="24"/>
    </row>
    <row r="16" spans="1:16" ht="16" x14ac:dyDescent="0.2">
      <c r="A16" s="18">
        <v>9</v>
      </c>
      <c r="B16" t="s">
        <v>45</v>
      </c>
      <c r="K16" s="22"/>
      <c r="L16" s="23"/>
      <c r="M16" s="23"/>
      <c r="N16" s="23">
        <v>544905329.79999995</v>
      </c>
      <c r="O16" s="23"/>
      <c r="P16" s="24"/>
    </row>
    <row r="17" spans="1:16" ht="16" x14ac:dyDescent="0.2">
      <c r="A17" s="18">
        <v>10</v>
      </c>
      <c r="B17" t="s">
        <v>45</v>
      </c>
      <c r="K17" s="22"/>
      <c r="L17" s="23"/>
      <c r="M17" s="23"/>
      <c r="N17" s="23"/>
      <c r="O17" s="23"/>
      <c r="P17" s="24"/>
    </row>
    <row r="18" spans="1:16" ht="16" x14ac:dyDescent="0.2">
      <c r="A18" s="18">
        <v>11</v>
      </c>
      <c r="B18">
        <v>175.2</v>
      </c>
      <c r="K18" s="22"/>
      <c r="L18" s="7" t="s">
        <v>5</v>
      </c>
      <c r="N18" s="7" t="s">
        <v>4</v>
      </c>
      <c r="O18" s="23"/>
      <c r="P18" s="24"/>
    </row>
    <row r="19" spans="1:16" ht="16" x14ac:dyDescent="0.2">
      <c r="K19" s="22"/>
      <c r="L19" s="11">
        <f>(L13*O13*P10*N16)/(SQRT(2*3.14159*0.045*M10*8.314))</f>
        <v>1.4357356396661774E-4</v>
      </c>
      <c r="N19" s="9">
        <f>(L13*O13*N16)/(SQRT(2*3.14159*0.045*M10*8.314))</f>
        <v>6.0435995490298461E-9</v>
      </c>
      <c r="O19" s="23"/>
      <c r="P19" s="24"/>
    </row>
    <row r="20" spans="1:16" ht="16" x14ac:dyDescent="0.2">
      <c r="K20" s="22"/>
      <c r="O20" s="23"/>
      <c r="P20" s="24"/>
    </row>
    <row r="21" spans="1:16" ht="19" x14ac:dyDescent="0.2">
      <c r="K21" s="22"/>
      <c r="L21" s="7" t="s">
        <v>3</v>
      </c>
      <c r="N21" s="7" t="s">
        <v>2</v>
      </c>
      <c r="O21" s="23"/>
      <c r="P21" s="24"/>
    </row>
    <row r="22" spans="1:16" ht="16" x14ac:dyDescent="0.2">
      <c r="K22" s="22"/>
      <c r="L22" s="10">
        <f>L19/N13</f>
        <v>94853.804408354568</v>
      </c>
      <c r="N22" s="9">
        <f>N19/N13</f>
        <v>3.9927852573150941</v>
      </c>
      <c r="O22" s="23"/>
      <c r="P22" s="24"/>
    </row>
    <row r="23" spans="1:16" ht="16" x14ac:dyDescent="0.2">
      <c r="K23" s="22"/>
      <c r="O23" s="23"/>
      <c r="P23" s="24"/>
    </row>
    <row r="24" spans="1:16" ht="19" x14ac:dyDescent="0.2">
      <c r="K24" s="22"/>
      <c r="L24" s="7" t="s">
        <v>1</v>
      </c>
      <c r="N24" s="7" t="s">
        <v>0</v>
      </c>
      <c r="O24" s="23"/>
      <c r="P24" s="24"/>
    </row>
    <row r="25" spans="1:16" ht="16" x14ac:dyDescent="0.2">
      <c r="K25" s="22"/>
      <c r="L25" s="10">
        <f>L22/L13</f>
        <v>253.78197406458824</v>
      </c>
      <c r="N25" s="13">
        <f>N22/L13</f>
        <v>1.0682723069863079E-2</v>
      </c>
      <c r="O25" s="23"/>
      <c r="P25" s="24"/>
    </row>
    <row r="26" spans="1:16" ht="16" x14ac:dyDescent="0.2">
      <c r="K26" s="22"/>
      <c r="L26" s="23"/>
      <c r="M26" s="23"/>
      <c r="N26" s="23"/>
      <c r="O26" s="23"/>
      <c r="P26" s="24"/>
    </row>
    <row r="27" spans="1:16" ht="16" x14ac:dyDescent="0.2">
      <c r="K27" s="22"/>
      <c r="L27" s="23"/>
      <c r="M27" s="23"/>
      <c r="N27" s="23"/>
      <c r="O27" s="23"/>
      <c r="P27" s="24"/>
    </row>
    <row r="28" spans="1:16" ht="16" x14ac:dyDescent="0.2">
      <c r="K28" s="22" t="s">
        <v>37</v>
      </c>
      <c r="L28" s="23" t="s">
        <v>12</v>
      </c>
      <c r="M28" s="23" t="s">
        <v>11</v>
      </c>
      <c r="N28" s="23" t="s">
        <v>10</v>
      </c>
      <c r="O28" s="23" t="s">
        <v>9</v>
      </c>
      <c r="P28" s="24" t="s">
        <v>8</v>
      </c>
    </row>
    <row r="29" spans="1:16" ht="16" x14ac:dyDescent="0.2">
      <c r="K29" s="22"/>
      <c r="L29" s="23">
        <v>2.5000000000000001E-2</v>
      </c>
      <c r="M29" s="23">
        <v>184.37</v>
      </c>
      <c r="N29" s="23">
        <v>1.5</v>
      </c>
      <c r="O29" s="23">
        <v>298</v>
      </c>
      <c r="P29" s="26">
        <v>4.8000000000000001E-5</v>
      </c>
    </row>
    <row r="30" spans="1:16" ht="16" x14ac:dyDescent="0.2">
      <c r="K30" s="22"/>
      <c r="L30" s="23"/>
      <c r="M30" s="23"/>
      <c r="N30" s="23" t="s">
        <v>7</v>
      </c>
      <c r="O30" s="23"/>
      <c r="P30" s="24"/>
    </row>
    <row r="31" spans="1:16" ht="19" x14ac:dyDescent="0.2">
      <c r="K31" s="22"/>
      <c r="L31" s="23"/>
      <c r="M31" s="23"/>
      <c r="N31" s="23">
        <v>373.76100000000002</v>
      </c>
      <c r="O31" s="23"/>
      <c r="P31" s="24" t="s">
        <v>38</v>
      </c>
    </row>
    <row r="32" spans="1:16" ht="16" x14ac:dyDescent="0.2">
      <c r="K32" s="22"/>
      <c r="L32" s="23"/>
      <c r="M32" s="23"/>
      <c r="N32" s="23"/>
      <c r="O32" s="23"/>
      <c r="P32" s="24">
        <v>1.5136300000000001E-9</v>
      </c>
    </row>
    <row r="33" spans="11:16" ht="16" x14ac:dyDescent="0.2">
      <c r="K33" s="22"/>
      <c r="L33" s="23"/>
      <c r="M33" s="23"/>
      <c r="N33" s="23"/>
      <c r="O33" s="23"/>
      <c r="P33" s="24"/>
    </row>
    <row r="34" spans="11:16" ht="16" x14ac:dyDescent="0.2">
      <c r="K34" s="22"/>
      <c r="L34" s="27" t="s">
        <v>5</v>
      </c>
      <c r="M34" s="23"/>
      <c r="N34" s="27" t="s">
        <v>4</v>
      </c>
      <c r="O34" s="23"/>
      <c r="P34" s="24"/>
    </row>
    <row r="35" spans="11:16" ht="16" x14ac:dyDescent="0.2">
      <c r="K35" s="22"/>
      <c r="L35" s="11">
        <f>L29/M29</f>
        <v>1.3559689754298422E-4</v>
      </c>
      <c r="M35" s="23"/>
      <c r="N35" s="10">
        <f>L35/23756.3</f>
        <v>5.7078289777020932E-9</v>
      </c>
      <c r="O35" s="23"/>
      <c r="P35" s="24"/>
    </row>
    <row r="36" spans="11:16" ht="16" x14ac:dyDescent="0.2">
      <c r="K36" s="22"/>
      <c r="L36" s="23"/>
      <c r="M36" s="23"/>
      <c r="N36" s="23"/>
      <c r="O36" s="23"/>
      <c r="P36" s="24"/>
    </row>
    <row r="37" spans="11:16" ht="19" x14ac:dyDescent="0.2">
      <c r="K37" s="22"/>
      <c r="L37" s="27" t="s">
        <v>39</v>
      </c>
      <c r="M37" s="23"/>
      <c r="N37" s="27" t="s">
        <v>40</v>
      </c>
      <c r="O37" s="23"/>
      <c r="P37" s="24"/>
    </row>
    <row r="38" spans="11:16" ht="16" x14ac:dyDescent="0.2">
      <c r="K38" s="22"/>
      <c r="L38" s="10">
        <f>L35/P32</f>
        <v>89583.912543345607</v>
      </c>
      <c r="M38" s="23"/>
      <c r="N38" s="9">
        <f>N35/P32</f>
        <v>3.7709539172070405</v>
      </c>
      <c r="O38" s="23"/>
      <c r="P38" s="24"/>
    </row>
    <row r="39" spans="11:16" ht="16" x14ac:dyDescent="0.2">
      <c r="K39" s="22"/>
      <c r="L39" s="23"/>
      <c r="M39" s="23"/>
      <c r="N39" s="23"/>
      <c r="O39" s="23"/>
      <c r="P39" s="24"/>
    </row>
    <row r="40" spans="11:16" ht="19" x14ac:dyDescent="0.2">
      <c r="K40" s="22"/>
      <c r="L40" s="27" t="s">
        <v>41</v>
      </c>
      <c r="M40" s="23"/>
      <c r="N40" s="27" t="s">
        <v>42</v>
      </c>
      <c r="O40" s="23"/>
      <c r="P40" s="24"/>
    </row>
    <row r="41" spans="11:16" ht="16" x14ac:dyDescent="0.2">
      <c r="K41" s="28"/>
      <c r="L41" s="4">
        <f>L38/N31</f>
        <v>239.68234391321084</v>
      </c>
      <c r="M41" s="29"/>
      <c r="N41" s="3">
        <f>N38/N31</f>
        <v>1.0089211868565848E-2</v>
      </c>
      <c r="O41" s="29"/>
      <c r="P4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Nitrogen</vt:lpstr>
      <vt:lpstr>Helium</vt:lpstr>
      <vt:lpstr>Hydrogen</vt:lpstr>
      <vt:lpstr>SF6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Del Maestro, Adrian</cp:lastModifiedBy>
  <dcterms:created xsi:type="dcterms:W3CDTF">2026-09-21T03:06:04Z</dcterms:created>
  <dcterms:modified xsi:type="dcterms:W3CDTF">2026-10-15T16:43:49Z</dcterms:modified>
</cp:coreProperties>
</file>